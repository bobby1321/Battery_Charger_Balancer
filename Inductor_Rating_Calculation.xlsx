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pel\Documents\GitHub\Battery_Charger_Balancer\"/>
    </mc:Choice>
  </mc:AlternateContent>
  <xr:revisionPtr revIDLastSave="0" documentId="13_ncr:1_{BE145F3C-9CE8-446E-9D65-1D7E2271F44B}" xr6:coauthVersionLast="47" xr6:coauthVersionMax="47" xr10:uidLastSave="{00000000-0000-0000-0000-000000000000}"/>
  <bookViews>
    <workbookView xWindow="38280" yWindow="2130" windowWidth="29040" windowHeight="15840" xr2:uid="{24D4A1AA-0856-4BD0-85D9-50FAD93521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J3" i="1"/>
  <c r="J1" i="1"/>
  <c r="C4" i="1"/>
  <c r="C2" i="1" s="1"/>
  <c r="G6" i="1" s="1"/>
  <c r="C1" i="1" l="1"/>
  <c r="G5" i="1" s="1"/>
</calcChain>
</file>

<file path=xl/sharedStrings.xml><?xml version="1.0" encoding="utf-8"?>
<sst xmlns="http://schemas.openxmlformats.org/spreadsheetml/2006/main" count="13" uniqueCount="12">
  <si>
    <t>I_Ripple_Buck</t>
  </si>
  <si>
    <t>VSYS</t>
  </si>
  <si>
    <t>VBUS</t>
  </si>
  <si>
    <t>FSW</t>
  </si>
  <si>
    <t>L</t>
  </si>
  <si>
    <t>A</t>
  </si>
  <si>
    <t>I_Rippe_Boost</t>
  </si>
  <si>
    <t>I_charge</t>
  </si>
  <si>
    <t>I_in</t>
  </si>
  <si>
    <t>D</t>
  </si>
  <si>
    <t>I_cin_buck</t>
  </si>
  <si>
    <t>delV_in_buck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</si>
</sst>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D616F-4A3B-4BA7-887D-862425F4C677}">
  <dimension ref="A1:J7"/>
  <sheetViews>
    <sheetView tabSelected="1" workbookViewId="0">
      <selection activeCell="J4" sqref="J4"/>
    </sheetView>
  </sheetViews>
  <sheetFormatPr defaultRowHeight="15" x14ac:dyDescent="0.25"/>
  <sheetData>
    <row r="1" spans="1:10" x14ac:dyDescent="0.25">
      <c r="A1" t="s">
        <v>0</v>
      </c>
      <c r="C1">
        <f>(C4*(C5-C4))/(C5*C6*C7)</f>
        <v>1.7919999999999996</v>
      </c>
      <c r="D1" t="s">
        <v>5</v>
      </c>
      <c r="F1" t="s">
        <v>7</v>
      </c>
      <c r="G1">
        <v>5</v>
      </c>
      <c r="I1" t="s">
        <v>9</v>
      </c>
      <c r="J1">
        <f>C4/C5</f>
        <v>0.84000000000000008</v>
      </c>
    </row>
    <row r="2" spans="1:10" x14ac:dyDescent="0.25">
      <c r="A2" t="s">
        <v>6</v>
      </c>
      <c r="C2">
        <f>(B5*(C4-B5))/(C4*C6*C7)</f>
        <v>2.3412698412698414</v>
      </c>
      <c r="D2" t="s">
        <v>5</v>
      </c>
      <c r="F2" t="s">
        <v>8</v>
      </c>
      <c r="G2">
        <v>5</v>
      </c>
    </row>
    <row r="3" spans="1:10" x14ac:dyDescent="0.25">
      <c r="I3" t="s">
        <v>10</v>
      </c>
      <c r="J3">
        <f>G1*SQRT(J1*(1-J1))</f>
        <v>1.8330302779823358</v>
      </c>
    </row>
    <row r="4" spans="1:10" x14ac:dyDescent="0.25">
      <c r="A4" t="s">
        <v>1</v>
      </c>
      <c r="B4">
        <v>4</v>
      </c>
      <c r="C4">
        <f>4.2*B4</f>
        <v>16.8</v>
      </c>
      <c r="I4" t="s">
        <v>11</v>
      </c>
      <c r="J4">
        <f>(J1*(1-J1)*G1)/5*C6</f>
        <v>201599.99999999991</v>
      </c>
    </row>
    <row r="5" spans="1:10" x14ac:dyDescent="0.25">
      <c r="A5" t="s">
        <v>2</v>
      </c>
      <c r="B5">
        <v>5</v>
      </c>
      <c r="C5">
        <v>20</v>
      </c>
      <c r="G5">
        <f>MAX(G1+C1/2,G2+C1/2)</f>
        <v>5.8959999999999999</v>
      </c>
    </row>
    <row r="6" spans="1:10" x14ac:dyDescent="0.25">
      <c r="A6" t="s">
        <v>3</v>
      </c>
      <c r="C6">
        <v>1500000</v>
      </c>
      <c r="G6">
        <f>MAX(G1+C2/2,G2+C2/2)</f>
        <v>6.1706349206349209</v>
      </c>
    </row>
    <row r="7" spans="1:10" x14ac:dyDescent="0.25">
      <c r="A7" t="s">
        <v>4</v>
      </c>
      <c r="C7">
        <v>9.9999999999999995E-7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Bobby Apelian</dc:creator>
  <cp:lastModifiedBy>Bobby Apelian</cp:lastModifiedBy>
  <dcterms:created xsi:type="dcterms:W3CDTF">2025-12-06T03:13:50Z</dcterms:created>
  <dcterms:modified xsi:type="dcterms:W3CDTF">2025-12-06T06:09:01Z</dcterms:modified>
</cp:coreProperties>
</file>